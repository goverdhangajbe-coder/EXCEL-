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vardhan Gajbe\Documents\"/>
    </mc:Choice>
  </mc:AlternateContent>
  <xr:revisionPtr revIDLastSave="0" documentId="13_ncr:1_{35B8F482-F207-404A-B49B-54838251FB37}" xr6:coauthVersionLast="47" xr6:coauthVersionMax="47" xr10:uidLastSave="{00000000-0000-0000-0000-000000000000}"/>
  <bookViews>
    <workbookView xWindow="-108" yWindow="-108" windowWidth="23256" windowHeight="12456" activeTab="1" xr2:uid="{11890850-F3B9-4A4F-B4C1-30C58025608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30" i="1"/>
  <c r="G31" i="1"/>
  <c r="G32" i="1"/>
  <c r="G28" i="1"/>
  <c r="G23" i="1"/>
  <c r="F23" i="1"/>
  <c r="E23" i="1"/>
  <c r="D23" i="1"/>
  <c r="G7" i="1"/>
  <c r="G8" i="1"/>
  <c r="G9" i="1"/>
  <c r="G10" i="1"/>
  <c r="G11" i="1"/>
  <c r="G12" i="1"/>
  <c r="G13" i="1"/>
  <c r="G6" i="1"/>
</calcChain>
</file>

<file path=xl/sharedStrings.xml><?xml version="1.0" encoding="utf-8"?>
<sst xmlns="http://schemas.openxmlformats.org/spreadsheetml/2006/main" count="33" uniqueCount="29">
  <si>
    <t>EMPOLYEE NAME</t>
  </si>
  <si>
    <t xml:space="preserve">JAN </t>
  </si>
  <si>
    <t>FEB</t>
  </si>
  <si>
    <t>MARCH</t>
  </si>
  <si>
    <t>TOTAL</t>
  </si>
  <si>
    <t>Aarav sharam</t>
  </si>
  <si>
    <t>Vivaan Gaupta</t>
  </si>
  <si>
    <t>Aditya Singh</t>
  </si>
  <si>
    <t>Vihaan Verma</t>
  </si>
  <si>
    <t>Arjun Das</t>
  </si>
  <si>
    <t>Rohan Mehat</t>
  </si>
  <si>
    <t>Karan Patel</t>
  </si>
  <si>
    <t>Rahul Roy</t>
  </si>
  <si>
    <t xml:space="preserve">AVERAGE SALE </t>
  </si>
  <si>
    <t>WEEK1</t>
  </si>
  <si>
    <t>WEEK2</t>
  </si>
  <si>
    <t>WEEK3</t>
  </si>
  <si>
    <t>WEEK4</t>
  </si>
  <si>
    <t>USA</t>
  </si>
  <si>
    <t>Germany</t>
  </si>
  <si>
    <t>MEXICO-LATAM</t>
  </si>
  <si>
    <t>UAE</t>
  </si>
  <si>
    <t>HIGHEST SALE</t>
  </si>
  <si>
    <t>JAN</t>
  </si>
  <si>
    <t>Electronic</t>
  </si>
  <si>
    <t>Raw material</t>
  </si>
  <si>
    <t>Machinery</t>
  </si>
  <si>
    <t>Good &amp;service</t>
  </si>
  <si>
    <t>Packing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</si>
</sst>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lgerian"/>
      <family val="5"/>
    </font>
    <font>
      <sz val="11"/>
      <color theme="1"/>
      <name val="Algerian"/>
      <family val="5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  <xf numFmtId="0" fontId="2" fillId="3" borderId="0" xfId="2" applyAlignment="1">
      <alignment horizontal="center"/>
    </xf>
    <xf numFmtId="0" fontId="1" fillId="4" borderId="0" xfId="3" applyAlignment="1">
      <alignment horizontal="center" wrapText="1"/>
    </xf>
    <xf numFmtId="0" fontId="2" fillId="2" borderId="0" xfId="1" applyAlignment="1">
      <alignment horizontal="center"/>
    </xf>
    <xf numFmtId="0" fontId="2" fillId="2" borderId="0" xfId="1"/>
  </cellXfs>
  <cellStyles count="4">
    <cellStyle name="40% - Accent6" xfId="3" builtinId="51"/>
    <cellStyle name="Accent2" xfId="1" builtinId="33"/>
    <cellStyle name="Accent6" xfId="2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EMPOLYEE 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Sheet1!$C$6:$C$14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5-498F-AFC3-A03D4F5CEFE4}"/>
            </c:ext>
          </c:extLst>
        </c:ser>
        <c:ser>
          <c:idx val="1"/>
          <c:order val="1"/>
          <c:tx>
            <c:strRef>
              <c:f>Sheet1!$D$5</c:f>
              <c:strCache>
                <c:ptCount val="1"/>
                <c:pt idx="0">
                  <c:v>JAN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Sheet1!$D$6:$D$14</c:f>
              <c:numCache>
                <c:formatCode>General</c:formatCode>
                <c:ptCount val="9"/>
                <c:pt idx="0">
                  <c:v>35000</c:v>
                </c:pt>
                <c:pt idx="1">
                  <c:v>42000</c:v>
                </c:pt>
                <c:pt idx="2">
                  <c:v>38000</c:v>
                </c:pt>
                <c:pt idx="3">
                  <c:v>45000</c:v>
                </c:pt>
                <c:pt idx="4">
                  <c:v>40000</c:v>
                </c:pt>
                <c:pt idx="5">
                  <c:v>36000</c:v>
                </c:pt>
                <c:pt idx="6">
                  <c:v>50000</c:v>
                </c:pt>
                <c:pt idx="7">
                  <c:v>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D5-498F-AFC3-A03D4F5CEFE4}"/>
            </c:ext>
          </c:extLst>
        </c:ser>
        <c:ser>
          <c:idx val="2"/>
          <c:order val="2"/>
          <c:tx>
            <c:strRef>
              <c:f>Sheet1!$E$5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Sheet1!$E$6:$E$14</c:f>
              <c:numCache>
                <c:formatCode>General</c:formatCode>
                <c:ptCount val="9"/>
                <c:pt idx="0">
                  <c:v>35000</c:v>
                </c:pt>
                <c:pt idx="1">
                  <c:v>42000</c:v>
                </c:pt>
                <c:pt idx="2">
                  <c:v>38000</c:v>
                </c:pt>
                <c:pt idx="3">
                  <c:v>45000</c:v>
                </c:pt>
                <c:pt idx="4">
                  <c:v>40000</c:v>
                </c:pt>
                <c:pt idx="5">
                  <c:v>36000</c:v>
                </c:pt>
                <c:pt idx="6">
                  <c:v>50000</c:v>
                </c:pt>
                <c:pt idx="7">
                  <c:v>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D5-498F-AFC3-A03D4F5CEFE4}"/>
            </c:ext>
          </c:extLst>
        </c:ser>
        <c:ser>
          <c:idx val="3"/>
          <c:order val="3"/>
          <c:tx>
            <c:strRef>
              <c:f>Sheet1!$F$5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Sheet1!$F$6:$F$14</c:f>
              <c:numCache>
                <c:formatCode>General</c:formatCode>
                <c:ptCount val="9"/>
                <c:pt idx="0">
                  <c:v>35000</c:v>
                </c:pt>
                <c:pt idx="1">
                  <c:v>42000</c:v>
                </c:pt>
                <c:pt idx="2">
                  <c:v>38000</c:v>
                </c:pt>
                <c:pt idx="3">
                  <c:v>45000</c:v>
                </c:pt>
                <c:pt idx="4">
                  <c:v>40000</c:v>
                </c:pt>
                <c:pt idx="5">
                  <c:v>36000</c:v>
                </c:pt>
                <c:pt idx="6">
                  <c:v>50000</c:v>
                </c:pt>
                <c:pt idx="7">
                  <c:v>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D5-498F-AFC3-A03D4F5CEFE4}"/>
            </c:ext>
          </c:extLst>
        </c:ser>
        <c:ser>
          <c:idx val="4"/>
          <c:order val="4"/>
          <c:tx>
            <c:strRef>
              <c:f>Sheet1!$G$5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Sheet1!$G$6:$G$14</c:f>
              <c:numCache>
                <c:formatCode>General</c:formatCode>
                <c:ptCount val="9"/>
                <c:pt idx="0">
                  <c:v>105000</c:v>
                </c:pt>
                <c:pt idx="1">
                  <c:v>126000</c:v>
                </c:pt>
                <c:pt idx="2">
                  <c:v>114000</c:v>
                </c:pt>
                <c:pt idx="3">
                  <c:v>135000</c:v>
                </c:pt>
                <c:pt idx="4">
                  <c:v>120000</c:v>
                </c:pt>
                <c:pt idx="5">
                  <c:v>108000</c:v>
                </c:pt>
                <c:pt idx="6">
                  <c:v>150000</c:v>
                </c:pt>
                <c:pt idx="7">
                  <c:v>117000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D5-498F-AFC3-A03D4F5CE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078879"/>
        <c:axId val="387074559"/>
      </c:barChart>
      <c:catAx>
        <c:axId val="3870788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074559"/>
        <c:crosses val="autoZero"/>
        <c:auto val="1"/>
        <c:lblAlgn val="ctr"/>
        <c:lblOffset val="100"/>
        <c:noMultiLvlLbl val="0"/>
      </c:catAx>
      <c:valAx>
        <c:axId val="38707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07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24234470691163"/>
          <c:y val="0.269581056466302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Sheet1!$C$28</c:f>
              <c:strCache>
                <c:ptCount val="1"/>
                <c:pt idx="0">
                  <c:v>Electronic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Sheet1!$D$26:$G$27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TOTAL</c:v>
                </c:pt>
              </c:strCache>
            </c:strRef>
          </c:cat>
          <c:val>
            <c:numRef>
              <c:f>Sheet1!$D$28:$G$28</c:f>
              <c:numCache>
                <c:formatCode>General</c:formatCode>
                <c:ptCount val="4"/>
                <c:pt idx="0">
                  <c:v>46000</c:v>
                </c:pt>
                <c:pt idx="1">
                  <c:v>78236</c:v>
                </c:pt>
                <c:pt idx="2">
                  <c:v>11345</c:v>
                </c:pt>
                <c:pt idx="3">
                  <c:v>78236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9D-48D1-B50C-5B3004EBCDB8}"/>
            </c:ext>
          </c:extLst>
        </c:ser>
        <c:ser>
          <c:idx val="1"/>
          <c:order val="1"/>
          <c:tx>
            <c:strRef>
              <c:f>Sheet1!$C$29</c:f>
              <c:strCache>
                <c:ptCount val="1"/>
                <c:pt idx="0">
                  <c:v>Raw material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Sheet1!$D$26:$G$27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TOTAL</c:v>
                </c:pt>
              </c:strCache>
            </c:strRef>
          </c:cat>
          <c:val>
            <c:numRef>
              <c:f>Sheet1!$D$29:$G$29</c:f>
              <c:numCache>
                <c:formatCode>General</c:formatCode>
                <c:ptCount val="4"/>
                <c:pt idx="0">
                  <c:v>44045</c:v>
                </c:pt>
                <c:pt idx="1">
                  <c:v>32000</c:v>
                </c:pt>
                <c:pt idx="2">
                  <c:v>84000</c:v>
                </c:pt>
                <c:pt idx="3">
                  <c:v>84000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9D-48D1-B50C-5B3004EBCDB8}"/>
            </c:ext>
          </c:extLst>
        </c:ser>
        <c:ser>
          <c:idx val="2"/>
          <c:order val="2"/>
          <c:tx>
            <c:strRef>
              <c:f>Sheet1!$C$30</c:f>
              <c:strCache>
                <c:ptCount val="1"/>
                <c:pt idx="0">
                  <c:v>Machinery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Sheet1!$D$26:$G$27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TOTAL</c:v>
                </c:pt>
              </c:strCache>
            </c:strRef>
          </c:cat>
          <c:val>
            <c:numRef>
              <c:f>Sheet1!$D$30:$G$30</c:f>
              <c:numCache>
                <c:formatCode>General</c:formatCode>
                <c:ptCount val="4"/>
                <c:pt idx="0">
                  <c:v>35500</c:v>
                </c:pt>
                <c:pt idx="1">
                  <c:v>12563</c:v>
                </c:pt>
                <c:pt idx="2">
                  <c:v>98600</c:v>
                </c:pt>
                <c:pt idx="3">
                  <c:v>98600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9D-48D1-B50C-5B3004EBCDB8}"/>
            </c:ext>
          </c:extLst>
        </c:ser>
        <c:ser>
          <c:idx val="3"/>
          <c:order val="3"/>
          <c:tx>
            <c:strRef>
              <c:f>Sheet1!$C$31</c:f>
              <c:strCache>
                <c:ptCount val="1"/>
                <c:pt idx="0">
                  <c:v>Good &amp;service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Sheet1!$D$26:$G$27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TOTAL</c:v>
                </c:pt>
              </c:strCache>
            </c:strRef>
          </c:cat>
          <c:val>
            <c:numRef>
              <c:f>Sheet1!$D$31:$G$31</c:f>
              <c:numCache>
                <c:formatCode>General</c:formatCode>
                <c:ptCount val="4"/>
                <c:pt idx="0">
                  <c:v>67345</c:v>
                </c:pt>
                <c:pt idx="1">
                  <c:v>34873</c:v>
                </c:pt>
                <c:pt idx="2">
                  <c:v>48000</c:v>
                </c:pt>
                <c:pt idx="3">
                  <c:v>67345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9D-48D1-B50C-5B3004EBCDB8}"/>
            </c:ext>
          </c:extLst>
        </c:ser>
        <c:ser>
          <c:idx val="4"/>
          <c:order val="4"/>
          <c:tx>
            <c:strRef>
              <c:f>Sheet1!$C$32</c:f>
              <c:strCache>
                <c:ptCount val="1"/>
                <c:pt idx="0">
                  <c:v>Packing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Sheet1!$D$26:$G$27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TOTAL</c:v>
                </c:pt>
              </c:strCache>
            </c:strRef>
          </c:cat>
          <c:val>
            <c:numRef>
              <c:f>Sheet1!$D$32:$G$32</c:f>
              <c:numCache>
                <c:formatCode>General</c:formatCode>
                <c:ptCount val="4"/>
                <c:pt idx="0">
                  <c:v>36500</c:v>
                </c:pt>
                <c:pt idx="1">
                  <c:v>87346</c:v>
                </c:pt>
                <c:pt idx="2">
                  <c:v>87956</c:v>
                </c:pt>
                <c:pt idx="3">
                  <c:v>87956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9D-48D1-B50C-5B3004EBC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894927"/>
        <c:axId val="581901647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Sheet1!$C$33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Sheet1!$D$26:$G$27</c15:sqref>
                        </c15:formulaRef>
                      </c:ext>
                    </c:extLst>
                    <c:strCache>
                      <c:ptCount val="4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MARCH</c:v>
                      </c:pt>
                      <c:pt idx="3">
                        <c:v>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Sheet1!$D$33:$G$33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A9D-48D1-B50C-5B3004EBCDB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Sheet1!$D$26:$G$27</c15:sqref>
                        </c15:formulaRef>
                      </c:ext>
                    </c:extLst>
                    <c:strCache>
                      <c:ptCount val="4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MARCH</c:v>
                      </c:pt>
                      <c:pt idx="3">
                        <c:v>TOTAL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Sheet1!$D$34:$G$34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A9D-48D1-B50C-5B3004EBCDB8}"/>
                  </c:ext>
                </c:extLst>
              </c15:ser>
            </c15:filteredLineSeries>
          </c:ext>
        </c:extLst>
      </c:lineChart>
      <c:catAx>
        <c:axId val="58189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901647"/>
        <c:crosses val="autoZero"/>
        <c:auto val="1"/>
        <c:lblAlgn val="ctr"/>
        <c:lblOffset val="100"/>
        <c:noMultiLvlLbl val="0"/>
      </c:catAx>
      <c:valAx>
        <c:axId val="58190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89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</xdr:colOff>
      <xdr:row>2</xdr:row>
      <xdr:rowOff>160020</xdr:rowOff>
    </xdr:from>
    <xdr:to>
      <xdr:col>18</xdr:col>
      <xdr:colOff>601980</xdr:colOff>
      <xdr:row>15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89B842-0B8C-C3D0-AF54-971C94501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541020</xdr:colOff>
      <xdr:row>20</xdr:row>
      <xdr:rowOff>7620</xdr:rowOff>
    </xdr:from>
    <xdr:to>
      <xdr:col>19</xdr:col>
      <xdr:colOff>15240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B4C830-3D52-B2AE-4135-9D33F8C10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358B5-83CB-4E82-AB38-A53F4E89B926}">
  <dimension ref="C5:G33"/>
  <sheetViews>
    <sheetView workbookViewId="0">
      <selection activeCell="J17" sqref="J17"/>
    </sheetView>
  </sheetViews>
  <sheetFormatPr defaultRowHeight="14.4" x14ac:dyDescent="0.3"/>
  <cols>
    <col min="3" max="3" width="17.109375" customWidth="1"/>
    <col min="4" max="4" width="11.21875" customWidth="1"/>
    <col min="5" max="6" width="9.77734375" customWidth="1"/>
  </cols>
  <sheetData>
    <row r="5" spans="3:7" ht="39.6" x14ac:dyDescent="0.4">
      <c r="C5" s="3" t="s">
        <v>0</v>
      </c>
      <c r="D5" s="3" t="s">
        <v>1</v>
      </c>
      <c r="E5" s="3" t="s">
        <v>2</v>
      </c>
      <c r="F5" s="3" t="s">
        <v>3</v>
      </c>
      <c r="G5" s="3" t="s">
        <v>4</v>
      </c>
    </row>
    <row r="6" spans="3:7" x14ac:dyDescent="0.3">
      <c r="C6" s="7" t="s">
        <v>5</v>
      </c>
      <c r="D6" s="4">
        <v>35000</v>
      </c>
      <c r="E6" s="4">
        <v>35000</v>
      </c>
      <c r="F6" s="4">
        <v>35000</v>
      </c>
      <c r="G6" s="4">
        <f>SUM(D6+E6+F6)</f>
        <v>105000</v>
      </c>
    </row>
    <row r="7" spans="3:7" x14ac:dyDescent="0.3">
      <c r="C7" s="7" t="s">
        <v>6</v>
      </c>
      <c r="D7" s="4">
        <v>42000</v>
      </c>
      <c r="E7" s="4">
        <v>42000</v>
      </c>
      <c r="F7" s="4">
        <v>42000</v>
      </c>
      <c r="G7" s="4">
        <f t="shared" ref="G7:G13" si="0">SUM(D7+E7+F7)</f>
        <v>126000</v>
      </c>
    </row>
    <row r="8" spans="3:7" x14ac:dyDescent="0.3">
      <c r="C8" s="7" t="s">
        <v>7</v>
      </c>
      <c r="D8" s="4">
        <v>38000</v>
      </c>
      <c r="E8" s="4">
        <v>38000</v>
      </c>
      <c r="F8" s="4">
        <v>38000</v>
      </c>
      <c r="G8" s="4">
        <f t="shared" si="0"/>
        <v>114000</v>
      </c>
    </row>
    <row r="9" spans="3:7" x14ac:dyDescent="0.3">
      <c r="C9" s="7" t="s">
        <v>8</v>
      </c>
      <c r="D9" s="4">
        <v>45000</v>
      </c>
      <c r="E9" s="4">
        <v>45000</v>
      </c>
      <c r="F9" s="4">
        <v>45000</v>
      </c>
      <c r="G9" s="4">
        <f t="shared" si="0"/>
        <v>135000</v>
      </c>
    </row>
    <row r="10" spans="3:7" x14ac:dyDescent="0.3">
      <c r="C10" s="7" t="s">
        <v>9</v>
      </c>
      <c r="D10" s="4">
        <v>40000</v>
      </c>
      <c r="E10" s="4">
        <v>40000</v>
      </c>
      <c r="F10" s="4">
        <v>40000</v>
      </c>
      <c r="G10" s="4">
        <f t="shared" si="0"/>
        <v>120000</v>
      </c>
    </row>
    <row r="11" spans="3:7" x14ac:dyDescent="0.3">
      <c r="C11" s="7" t="s">
        <v>10</v>
      </c>
      <c r="D11" s="4">
        <v>36000</v>
      </c>
      <c r="E11" s="4">
        <v>36000</v>
      </c>
      <c r="F11" s="4">
        <v>36000</v>
      </c>
      <c r="G11" s="4">
        <f t="shared" si="0"/>
        <v>108000</v>
      </c>
    </row>
    <row r="12" spans="3:7" x14ac:dyDescent="0.3">
      <c r="C12" s="7" t="s">
        <v>11</v>
      </c>
      <c r="D12" s="4">
        <v>50000</v>
      </c>
      <c r="E12" s="4">
        <v>50000</v>
      </c>
      <c r="F12" s="4">
        <v>50000</v>
      </c>
      <c r="G12" s="4">
        <f t="shared" si="0"/>
        <v>150000</v>
      </c>
    </row>
    <row r="13" spans="3:7" x14ac:dyDescent="0.3">
      <c r="C13" s="7" t="s">
        <v>12</v>
      </c>
      <c r="D13" s="4">
        <v>39000</v>
      </c>
      <c r="E13" s="4">
        <v>39000</v>
      </c>
      <c r="F13" s="4">
        <v>39000</v>
      </c>
      <c r="G13" s="4">
        <f t="shared" si="0"/>
        <v>117000</v>
      </c>
    </row>
    <row r="18" spans="3:7" ht="15" x14ac:dyDescent="0.3">
      <c r="C18" s="6" t="s">
        <v>13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3:7" x14ac:dyDescent="0.3">
      <c r="C19" s="6" t="s">
        <v>18</v>
      </c>
      <c r="D19" s="2">
        <v>38000</v>
      </c>
      <c r="E19" s="2">
        <v>34000</v>
      </c>
      <c r="F19" s="2">
        <v>11345</v>
      </c>
      <c r="G19" s="2">
        <v>40000</v>
      </c>
    </row>
    <row r="20" spans="3:7" x14ac:dyDescent="0.3">
      <c r="C20" s="6" t="s">
        <v>19</v>
      </c>
      <c r="D20" s="2">
        <v>45000</v>
      </c>
      <c r="E20" s="2">
        <v>47000</v>
      </c>
      <c r="F20" s="2">
        <v>84000</v>
      </c>
      <c r="G20" s="2">
        <v>36000</v>
      </c>
    </row>
    <row r="21" spans="3:7" x14ac:dyDescent="0.3">
      <c r="C21" s="6" t="s">
        <v>20</v>
      </c>
      <c r="D21" s="2">
        <v>36000</v>
      </c>
      <c r="E21" s="2">
        <v>33000</v>
      </c>
      <c r="F21" s="2">
        <v>98600</v>
      </c>
      <c r="G21" s="2">
        <v>50000</v>
      </c>
    </row>
    <row r="22" spans="3:7" x14ac:dyDescent="0.3">
      <c r="C22" s="6" t="s">
        <v>21</v>
      </c>
      <c r="D22" s="2">
        <v>39750</v>
      </c>
      <c r="E22" s="2">
        <v>41000</v>
      </c>
      <c r="F22" s="2">
        <v>48000</v>
      </c>
      <c r="G22" s="2">
        <v>39000</v>
      </c>
    </row>
    <row r="23" spans="3:7" x14ac:dyDescent="0.3">
      <c r="C23" s="6" t="s">
        <v>4</v>
      </c>
      <c r="D23" s="2">
        <f>AVERAGE(D19:D22)</f>
        <v>39687.5</v>
      </c>
      <c r="E23" s="2">
        <f>AVERAGE(E19:E22)</f>
        <v>38750</v>
      </c>
      <c r="F23" s="2">
        <f>AVERAGE(F19:F22)</f>
        <v>60486.25</v>
      </c>
      <c r="G23" s="2">
        <f>AVERAGE(G19:G22)</f>
        <v>41250</v>
      </c>
    </row>
    <row r="24" spans="3:7" x14ac:dyDescent="0.3">
      <c r="C24" s="2"/>
      <c r="D24" s="2"/>
      <c r="E24" s="2"/>
      <c r="F24" s="2"/>
      <c r="G24" s="2"/>
    </row>
    <row r="27" spans="3:7" ht="19.8" x14ac:dyDescent="0.4">
      <c r="C27" s="8" t="s">
        <v>22</v>
      </c>
      <c r="D27" s="1" t="s">
        <v>23</v>
      </c>
      <c r="E27" s="1" t="s">
        <v>2</v>
      </c>
      <c r="F27" s="1" t="s">
        <v>3</v>
      </c>
      <c r="G27" s="1" t="s">
        <v>4</v>
      </c>
    </row>
    <row r="28" spans="3:7" x14ac:dyDescent="0.3">
      <c r="C28" s="8" t="s">
        <v>24</v>
      </c>
      <c r="D28" s="2">
        <v>46000</v>
      </c>
      <c r="E28" s="2">
        <v>78236</v>
      </c>
      <c r="F28" s="2">
        <v>11345</v>
      </c>
      <c r="G28" s="2">
        <f>MAX(D28:F28)</f>
        <v>78236</v>
      </c>
    </row>
    <row r="29" spans="3:7" x14ac:dyDescent="0.3">
      <c r="C29" s="8" t="s">
        <v>25</v>
      </c>
      <c r="D29" s="2">
        <v>44045</v>
      </c>
      <c r="E29" s="2">
        <v>32000</v>
      </c>
      <c r="F29" s="2">
        <v>84000</v>
      </c>
      <c r="G29" s="2">
        <f t="shared" ref="G29:G32" si="1">MAX(D29:F29)</f>
        <v>84000</v>
      </c>
    </row>
    <row r="30" spans="3:7" x14ac:dyDescent="0.3">
      <c r="C30" s="8" t="s">
        <v>26</v>
      </c>
      <c r="D30" s="2">
        <v>35500</v>
      </c>
      <c r="E30" s="2">
        <v>12563</v>
      </c>
      <c r="F30" s="2">
        <v>98600</v>
      </c>
      <c r="G30" s="2">
        <f t="shared" si="1"/>
        <v>98600</v>
      </c>
    </row>
    <row r="31" spans="3:7" x14ac:dyDescent="0.3">
      <c r="C31" s="8" t="s">
        <v>27</v>
      </c>
      <c r="D31" s="2">
        <v>67345</v>
      </c>
      <c r="E31" s="2">
        <v>34873</v>
      </c>
      <c r="F31" s="2">
        <v>48000</v>
      </c>
      <c r="G31" s="2">
        <f t="shared" si="1"/>
        <v>67345</v>
      </c>
    </row>
    <row r="32" spans="3:7" x14ac:dyDescent="0.3">
      <c r="C32" s="8" t="s">
        <v>28</v>
      </c>
      <c r="D32" s="2">
        <v>36500</v>
      </c>
      <c r="E32" s="2">
        <v>87346</v>
      </c>
      <c r="F32" s="2">
        <v>87956</v>
      </c>
      <c r="G32" s="2">
        <f t="shared" si="1"/>
        <v>87956</v>
      </c>
    </row>
    <row r="33" spans="3:3" x14ac:dyDescent="0.3">
      <c r="C33" s="9"/>
    </row>
  </sheetData>
  <conditionalFormatting sqref="C5:G1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{54695977-D8B6-4643-B93B-6BACD9B8D21C}</x14:id>
        </ext>
      </extLst>
    </cfRule>
  </conditionalFormatting>
  <conditionalFormatting sqref="C18:G23">
    <cfRule type="colorScale" priority="1">
      <colorScale>
        <cfvo type="min"/>
        <cfvo type="max"/>
        <color rgb="FFFFEF9C"/>
        <color rgb="FF63BE7B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{7DF5134D-6189-4366-A140-02E63AD6D546}</x14:id>
        </ext>
      </extLst>
    </cfRule>
  </conditionalFormatting>
  <conditionalFormatting sqref="C18:G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{C561D845-8CF8-4E17-9AD6-F1146E74B37F}</x14:id>
        </ext>
      </extLst>
    </cfRule>
  </conditionalFormatting>
  <conditionalFormatting sqref="C27:G3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{8D35736C-5D02-4C68-807C-D6A4F9267765}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695977-D8B6-4643-B93B-6BACD9B8D2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C5:G13</xm:sqref>
        </x14:conditionalFormatting>
        <x14:conditionalFormatting xmlns:xm="http://schemas.microsoft.com/office/excel/2006/main">
          <x14:cfRule type="dataBar" id="{7DF5134D-6189-4366-A140-02E63AD6D5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C18:G23</xm:sqref>
        </x14:conditionalFormatting>
        <x14:conditionalFormatting xmlns:xm="http://schemas.microsoft.com/office/excel/2006/main">
          <x14:cfRule type="dataBar" id="{C561D845-8CF8-4E17-9AD6-F1146E74B3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C18:G24</xm:sqref>
        </x14:conditionalFormatting>
        <x14:conditionalFormatting xmlns:xm="http://schemas.microsoft.com/office/excel/2006/main">
          <x14:cfRule type="dataBar" id="{8D35736C-5D02-4C68-807C-D6A4F92677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C27:G32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2BD70-C634-49C9-80F6-C93ED38905E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goverdhangajbe@outlook.com</dc:creator>
  <cp:lastModifiedBy>goverdhangajbe@outlook.com</cp:lastModifiedBy>
  <dcterms:created xsi:type="dcterms:W3CDTF">2026-08-04T08:11:11Z</dcterms:created>
  <dcterms:modified xsi:type="dcterms:W3CDTF">2026-08-06T04:27:44Z</dcterms:modified>
</cp:coreProperties>
</file>